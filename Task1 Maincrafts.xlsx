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4E40BBE-F261-4A57-AE50-90A002AF3FDC}" xr6:coauthVersionLast="47" xr6:coauthVersionMax="47" xr10:uidLastSave="{00000000-0000-0000-0000-000000000000}"/>
  <bookViews>
    <workbookView xWindow="-120" yWindow="-120" windowWidth="20730" windowHeight="11160" xr2:uid="{676DF536-0883-43E7-9398-A36719B612F7}"/>
  </bookViews>
  <sheets>
    <sheet name="Data" sheetId="1" r:id="rId1"/>
    <sheet name="Pivot tables" sheetId="3" r:id="rId2"/>
  </sheets>
  <calcPr calcId="18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</calcChain>
</file>

<file path=xl/sharedStrings.xml><?xml version="1.0" encoding="utf-8"?>
<sst xmlns="http://schemas.openxmlformats.org/spreadsheetml/2006/main" count="192" uniqueCount="39">
  <si>
    <t>OrderID</t>
  </si>
  <si>
    <t>OrderDate</t>
  </si>
  <si>
    <t>Region</t>
  </si>
  <si>
    <t>Product</t>
  </si>
  <si>
    <t>Category</t>
  </si>
  <si>
    <t>SalesAmount</t>
  </si>
  <si>
    <t>Profit</t>
  </si>
  <si>
    <t>Quantity</t>
  </si>
  <si>
    <t>South</t>
  </si>
  <si>
    <t>Laptop</t>
  </si>
  <si>
    <t>Electronics</t>
  </si>
  <si>
    <t>North</t>
  </si>
  <si>
    <t>Office Chair</t>
  </si>
  <si>
    <t>Furniture</t>
  </si>
  <si>
    <t>East</t>
  </si>
  <si>
    <t>Notebook</t>
  </si>
  <si>
    <t>Stationery</t>
  </si>
  <si>
    <t>West</t>
  </si>
  <si>
    <t>Mobile Phone</t>
  </si>
  <si>
    <t>Desk</t>
  </si>
  <si>
    <t>Printer</t>
  </si>
  <si>
    <t>Pen Pack</t>
  </si>
  <si>
    <t>Monitor</t>
  </si>
  <si>
    <t>Table</t>
  </si>
  <si>
    <t>Headphones</t>
  </si>
  <si>
    <t>Marker Set</t>
  </si>
  <si>
    <t>Bookshelf</t>
  </si>
  <si>
    <t>Calculator</t>
  </si>
  <si>
    <t>Tablet</t>
  </si>
  <si>
    <t>Profit Margin</t>
  </si>
  <si>
    <t>Grand Total</t>
  </si>
  <si>
    <t>Sales by Region</t>
  </si>
  <si>
    <t>Sales by Product</t>
  </si>
  <si>
    <t>Jan</t>
  </si>
  <si>
    <t>Feb</t>
  </si>
  <si>
    <t>Mar</t>
  </si>
  <si>
    <t>Monthly Sales Trend</t>
  </si>
  <si>
    <t>Sum of SalesAmount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</si>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</sst>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/>
    <xf numFmtId="165" fontId="0" fillId="0" borderId="0" xfId="0" applyNumberForma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1">
    <dxf>
      <numFmt numFmtId="14" formatCode="0.00%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4" formatCode="&quot;₹&quot;\ #,##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[$-F800]dddd\,\ mmmm\ dd\,\ 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87.61437048611" createdVersion="8" refreshedVersion="8" minRefreshableVersion="3" recordCount="50" xr:uid="{9F11317C-C9A0-41B0-9F54-4AA06B320971}">
  <cacheSource type="worksheet">
    <worksheetSource name="Table1"/>
  </cacheSource>
  <cacheFields count="11">
    <cacheField name="OrderID" numFmtId="0">
      <sharedItems containsSemiMixedTypes="0" containsString="0" containsNumber="1" containsInteger="1" minValue="1001" maxValue="1050"/>
    </cacheField>
    <cacheField name="OrderDate" numFmtId="165">
      <sharedItems containsSemiMixedTypes="0" containsNonDate="0" containsDate="1" containsString="0" minDate="2025-01-02T00:00:00" maxDate="2025-04-01T00:00:00" count="50">
        <d v="2025-01-02T00:00:00"/>
        <d v="2025-01-03T00:00:00"/>
        <d v="2025-01-05T00:00:00"/>
        <d v="2025-01-06T00:00:00"/>
        <d v="2025-01-08T00:00:00"/>
        <d v="2025-01-10T00:00:00"/>
        <d v="2025-01-11T00:00:00"/>
        <d v="2025-01-13T00:00:00"/>
        <d v="2025-01-15T00:00:00"/>
        <d v="2025-01-17T00:00:00"/>
        <d v="2025-01-18T00:00:00"/>
        <d v="2025-01-20T00:00:00"/>
        <d v="2025-01-22T00:00:00"/>
        <d v="2025-01-24T00:00:00"/>
        <d v="2025-01-25T00:00:00"/>
        <d v="2025-01-27T00:00:00"/>
        <d v="2025-01-29T00:00:00"/>
        <d v="2025-02-01T00:00:00"/>
        <d v="2025-02-03T00:00:00"/>
        <d v="2025-02-05T00:00:00"/>
        <d v="2025-02-07T00:00:00"/>
        <d v="2025-02-09T00:00:00"/>
        <d v="2025-02-10T00:00:00"/>
        <d v="2025-02-12T00:00:00"/>
        <d v="2025-02-14T00:00:00"/>
        <d v="2025-02-16T00:00:00"/>
        <d v="2025-02-18T00:00:00"/>
        <d v="2025-02-20T00:00:00"/>
        <d v="2025-02-22T00:00:00"/>
        <d v="2025-02-24T00:00:00"/>
        <d v="2025-02-26T00:00:00"/>
        <d v="2025-02-28T00:00:00"/>
        <d v="2025-03-01T00:00:00"/>
        <d v="2025-03-03T00:00:00"/>
        <d v="2025-03-05T00:00:00"/>
        <d v="2025-03-07T00:00:00"/>
        <d v="2025-03-09T00:00:00"/>
        <d v="2025-03-11T00:00:00"/>
        <d v="2025-03-13T00:00:00"/>
        <d v="2025-03-15T00:00:00"/>
        <d v="2025-03-17T00:00:00"/>
        <d v="2025-03-19T00:00:00"/>
        <d v="2025-03-21T00:00:00"/>
        <d v="2025-03-23T00:00:00"/>
        <d v="2025-03-25T00:00:00"/>
        <d v="2025-03-27T00:00:00"/>
        <d v="2025-03-28T00:00:00"/>
        <d v="2025-03-29T00:00:00"/>
        <d v="2025-03-30T00:00:00"/>
        <d v="2025-03-31T00:00:00"/>
      </sharedItems>
      <fieldGroup par="10"/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14">
        <s v="Laptop"/>
        <s v="Office Chair"/>
        <s v="Notebook"/>
        <s v="Mobile Phone"/>
        <s v="Desk"/>
        <s v="Printer"/>
        <s v="Pen Pack"/>
        <s v="Monitor"/>
        <s v="Table"/>
        <s v="Headphones"/>
        <s v="Marker Set"/>
        <s v="Bookshelf"/>
        <s v="Calculator"/>
        <s v="Tablet"/>
      </sharedItems>
    </cacheField>
    <cacheField name="Category" numFmtId="0">
      <sharedItems/>
    </cacheField>
    <cacheField name="SalesAmount" numFmtId="164">
      <sharedItems containsSemiMixedTypes="0" containsString="0" containsNumber="1" containsInteger="1" minValue="800" maxValue="62000"/>
    </cacheField>
    <cacheField name="Profit" numFmtId="164">
      <sharedItems containsSemiMixedTypes="0" containsString="0" containsNumber="1" containsInteger="1" minValue="150" maxValue="9500"/>
    </cacheField>
    <cacheField name="Quantity" numFmtId="0">
      <sharedItems containsSemiMixedTypes="0" containsString="0" containsNumber="1" containsInteger="1" minValue="1" maxValue="30"/>
    </cacheField>
    <cacheField name="Profit Margin" numFmtId="10">
      <sharedItems containsSemiMixedTypes="0" containsString="0" containsNumber="1" minValue="0.12962962962962962" maxValue="0.23076923076923078"/>
    </cacheField>
    <cacheField name="Days (OrderDate)" numFmtId="0" databaseField="0">
      <fieldGroup base="1">
        <rangePr groupBy="days" startDate="2025-01-02T00:00:00" endDate="2025-04-01T00:00:00"/>
        <groupItems count="368">
          <s v="&lt;02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4-2025"/>
        </groupItems>
      </fieldGroup>
    </cacheField>
    <cacheField name="Months (OrderDate)" numFmtId="0" databaseField="0">
      <fieldGroup base="1">
        <rangePr groupBy="months" startDate="2025-01-02T00:00:00" endDate="2025-04-01T00:00:00"/>
        <groupItems count="14">
          <s v="&lt;02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x v="0"/>
    <x v="0"/>
    <x v="0"/>
    <s v="Electronics"/>
    <n v="55000"/>
    <n v="8000"/>
    <n v="2"/>
    <n v="0.14545454545454545"/>
  </r>
  <r>
    <n v="1002"/>
    <x v="1"/>
    <x v="1"/>
    <x v="1"/>
    <s v="Furniture"/>
    <n v="12000"/>
    <n v="2500"/>
    <n v="4"/>
    <n v="0.20833333333333334"/>
  </r>
  <r>
    <n v="1003"/>
    <x v="2"/>
    <x v="2"/>
    <x v="2"/>
    <s v="Stationery"/>
    <n v="1500"/>
    <n v="300"/>
    <n v="10"/>
    <n v="0.2"/>
  </r>
  <r>
    <n v="1004"/>
    <x v="3"/>
    <x v="3"/>
    <x v="3"/>
    <s v="Electronics"/>
    <n v="30000"/>
    <n v="5000"/>
    <n v="3"/>
    <n v="0.16666666666666666"/>
  </r>
  <r>
    <n v="1005"/>
    <x v="4"/>
    <x v="0"/>
    <x v="4"/>
    <s v="Furniture"/>
    <n v="18000"/>
    <n v="3500"/>
    <n v="2"/>
    <n v="0.19444444444444445"/>
  </r>
  <r>
    <n v="1006"/>
    <x v="5"/>
    <x v="1"/>
    <x v="5"/>
    <s v="Electronics"/>
    <n v="15000"/>
    <n v="2000"/>
    <n v="1"/>
    <n v="0.13333333333333333"/>
  </r>
  <r>
    <n v="1007"/>
    <x v="6"/>
    <x v="2"/>
    <x v="6"/>
    <s v="Stationery"/>
    <n v="800"/>
    <n v="150"/>
    <n v="20"/>
    <n v="0.1875"/>
  </r>
  <r>
    <n v="1008"/>
    <x v="7"/>
    <x v="3"/>
    <x v="7"/>
    <s v="Electronics"/>
    <n v="22000"/>
    <n v="4000"/>
    <n v="2"/>
    <n v="0.18181818181818182"/>
  </r>
  <r>
    <n v="1009"/>
    <x v="8"/>
    <x v="0"/>
    <x v="8"/>
    <s v="Furniture"/>
    <n v="25000"/>
    <n v="5000"/>
    <n v="3"/>
    <n v="0.2"/>
  </r>
  <r>
    <n v="1010"/>
    <x v="9"/>
    <x v="1"/>
    <x v="9"/>
    <s v="Electronics"/>
    <n v="5000"/>
    <n v="900"/>
    <n v="5"/>
    <n v="0.18"/>
  </r>
  <r>
    <n v="1011"/>
    <x v="10"/>
    <x v="2"/>
    <x v="10"/>
    <s v="Stationery"/>
    <n v="1200"/>
    <n v="250"/>
    <n v="8"/>
    <n v="0.20833333333333334"/>
  </r>
  <r>
    <n v="1012"/>
    <x v="11"/>
    <x v="3"/>
    <x v="0"/>
    <s v="Electronics"/>
    <n v="60000"/>
    <n v="9000"/>
    <n v="2"/>
    <n v="0.15"/>
  </r>
  <r>
    <n v="1013"/>
    <x v="12"/>
    <x v="0"/>
    <x v="11"/>
    <s v="Furniture"/>
    <n v="20000"/>
    <n v="4500"/>
    <n v="2"/>
    <n v="0.22500000000000001"/>
  </r>
  <r>
    <n v="1014"/>
    <x v="13"/>
    <x v="1"/>
    <x v="12"/>
    <s v="Stationery"/>
    <n v="2000"/>
    <n v="400"/>
    <n v="6"/>
    <n v="0.2"/>
  </r>
  <r>
    <n v="1015"/>
    <x v="14"/>
    <x v="2"/>
    <x v="13"/>
    <s v="Electronics"/>
    <n v="27000"/>
    <n v="3500"/>
    <n v="2"/>
    <n v="0.12962962962962962"/>
  </r>
  <r>
    <n v="1016"/>
    <x v="15"/>
    <x v="3"/>
    <x v="1"/>
    <s v="Furniture"/>
    <n v="14000"/>
    <n v="3000"/>
    <n v="3"/>
    <n v="0.21428571428571427"/>
  </r>
  <r>
    <n v="1017"/>
    <x v="16"/>
    <x v="0"/>
    <x v="5"/>
    <s v="Electronics"/>
    <n v="16000"/>
    <n v="2500"/>
    <n v="1"/>
    <n v="0.15625"/>
  </r>
  <r>
    <n v="1018"/>
    <x v="17"/>
    <x v="1"/>
    <x v="2"/>
    <s v="Stationery"/>
    <n v="1800"/>
    <n v="350"/>
    <n v="12"/>
    <n v="0.19444444444444445"/>
  </r>
  <r>
    <n v="1019"/>
    <x v="18"/>
    <x v="2"/>
    <x v="3"/>
    <s v="Electronics"/>
    <n v="32000"/>
    <n v="6000"/>
    <n v="3"/>
    <n v="0.1875"/>
  </r>
  <r>
    <n v="1020"/>
    <x v="19"/>
    <x v="3"/>
    <x v="4"/>
    <s v="Furniture"/>
    <n v="19000"/>
    <n v="3800"/>
    <n v="2"/>
    <n v="0.2"/>
  </r>
  <r>
    <n v="1021"/>
    <x v="20"/>
    <x v="0"/>
    <x v="6"/>
    <s v="Stationery"/>
    <n v="900"/>
    <n v="200"/>
    <n v="25"/>
    <n v="0.22222222222222221"/>
  </r>
  <r>
    <n v="1022"/>
    <x v="21"/>
    <x v="1"/>
    <x v="7"/>
    <s v="Electronics"/>
    <n v="24000"/>
    <n v="4200"/>
    <n v="2"/>
    <n v="0.17499999999999999"/>
  </r>
  <r>
    <n v="1023"/>
    <x v="22"/>
    <x v="2"/>
    <x v="8"/>
    <s v="Furniture"/>
    <n v="26000"/>
    <n v="5200"/>
    <n v="3"/>
    <n v="0.2"/>
  </r>
  <r>
    <n v="1024"/>
    <x v="23"/>
    <x v="3"/>
    <x v="9"/>
    <s v="Electronics"/>
    <n v="5500"/>
    <n v="1000"/>
    <n v="6"/>
    <n v="0.18181818181818182"/>
  </r>
  <r>
    <n v="1025"/>
    <x v="24"/>
    <x v="0"/>
    <x v="10"/>
    <s v="Stationery"/>
    <n v="1300"/>
    <n v="300"/>
    <n v="10"/>
    <n v="0.23076923076923078"/>
  </r>
  <r>
    <n v="1026"/>
    <x v="25"/>
    <x v="1"/>
    <x v="0"/>
    <s v="Electronics"/>
    <n v="58000"/>
    <n v="8500"/>
    <n v="2"/>
    <n v="0.14655172413793102"/>
  </r>
  <r>
    <n v="1027"/>
    <x v="26"/>
    <x v="2"/>
    <x v="11"/>
    <s v="Furniture"/>
    <n v="21000"/>
    <n v="4600"/>
    <n v="2"/>
    <n v="0.21904761904761905"/>
  </r>
  <r>
    <n v="1028"/>
    <x v="27"/>
    <x v="3"/>
    <x v="12"/>
    <s v="Stationery"/>
    <n v="2200"/>
    <n v="450"/>
    <n v="7"/>
    <n v="0.20454545454545456"/>
  </r>
  <r>
    <n v="1029"/>
    <x v="28"/>
    <x v="0"/>
    <x v="13"/>
    <s v="Electronics"/>
    <n v="28000"/>
    <n v="3700"/>
    <n v="2"/>
    <n v="0.13214285714285715"/>
  </r>
  <r>
    <n v="1030"/>
    <x v="29"/>
    <x v="1"/>
    <x v="1"/>
    <s v="Furniture"/>
    <n v="15000"/>
    <n v="3200"/>
    <n v="3"/>
    <n v="0.21333333333333335"/>
  </r>
  <r>
    <n v="1031"/>
    <x v="30"/>
    <x v="2"/>
    <x v="5"/>
    <s v="Electronics"/>
    <n v="17000"/>
    <n v="2800"/>
    <n v="1"/>
    <n v="0.16470588235294117"/>
  </r>
  <r>
    <n v="1032"/>
    <x v="31"/>
    <x v="3"/>
    <x v="2"/>
    <s v="Stationery"/>
    <n v="1600"/>
    <n v="320"/>
    <n v="15"/>
    <n v="0.2"/>
  </r>
  <r>
    <n v="1033"/>
    <x v="32"/>
    <x v="0"/>
    <x v="3"/>
    <s v="Electronics"/>
    <n v="31000"/>
    <n v="5800"/>
    <n v="3"/>
    <n v="0.18709677419354839"/>
  </r>
  <r>
    <n v="1034"/>
    <x v="33"/>
    <x v="1"/>
    <x v="4"/>
    <s v="Furniture"/>
    <n v="20000"/>
    <n v="4000"/>
    <n v="2"/>
    <n v="0.2"/>
  </r>
  <r>
    <n v="1035"/>
    <x v="34"/>
    <x v="2"/>
    <x v="6"/>
    <s v="Stationery"/>
    <n v="1000"/>
    <n v="220"/>
    <n v="30"/>
    <n v="0.22"/>
  </r>
  <r>
    <n v="1036"/>
    <x v="35"/>
    <x v="3"/>
    <x v="7"/>
    <s v="Electronics"/>
    <n v="23000"/>
    <n v="4100"/>
    <n v="2"/>
    <n v="0.17826086956521739"/>
  </r>
  <r>
    <n v="1037"/>
    <x v="36"/>
    <x v="0"/>
    <x v="8"/>
    <s v="Furniture"/>
    <n v="27000"/>
    <n v="5400"/>
    <n v="3"/>
    <n v="0.2"/>
  </r>
  <r>
    <n v="1038"/>
    <x v="37"/>
    <x v="1"/>
    <x v="9"/>
    <s v="Electronics"/>
    <n v="6000"/>
    <n v="1200"/>
    <n v="6"/>
    <n v="0.2"/>
  </r>
  <r>
    <n v="1039"/>
    <x v="38"/>
    <x v="2"/>
    <x v="10"/>
    <s v="Stationery"/>
    <n v="1400"/>
    <n v="310"/>
    <n v="12"/>
    <n v="0.22142857142857142"/>
  </r>
  <r>
    <n v="1040"/>
    <x v="39"/>
    <x v="3"/>
    <x v="0"/>
    <s v="Electronics"/>
    <n v="62000"/>
    <n v="9500"/>
    <n v="2"/>
    <n v="0.15322580645161291"/>
  </r>
  <r>
    <n v="1041"/>
    <x v="40"/>
    <x v="0"/>
    <x v="11"/>
    <s v="Furniture"/>
    <n v="22000"/>
    <n v="4700"/>
    <n v="2"/>
    <n v="0.21363636363636362"/>
  </r>
  <r>
    <n v="1042"/>
    <x v="41"/>
    <x v="1"/>
    <x v="12"/>
    <s v="Stationery"/>
    <n v="2500"/>
    <n v="500"/>
    <n v="8"/>
    <n v="0.2"/>
  </r>
  <r>
    <n v="1043"/>
    <x v="42"/>
    <x v="2"/>
    <x v="13"/>
    <s v="Electronics"/>
    <n v="29000"/>
    <n v="3900"/>
    <n v="2"/>
    <n v="0.13448275862068965"/>
  </r>
  <r>
    <n v="1044"/>
    <x v="43"/>
    <x v="3"/>
    <x v="1"/>
    <s v="Furniture"/>
    <n v="16000"/>
    <n v="3300"/>
    <n v="3"/>
    <n v="0.20624999999999999"/>
  </r>
  <r>
    <n v="1045"/>
    <x v="44"/>
    <x v="0"/>
    <x v="5"/>
    <s v="Electronics"/>
    <n v="18000"/>
    <n v="3000"/>
    <n v="1"/>
    <n v="0.16666666666666666"/>
  </r>
  <r>
    <n v="1046"/>
    <x v="45"/>
    <x v="1"/>
    <x v="2"/>
    <s v="Stationery"/>
    <n v="1700"/>
    <n v="340"/>
    <n v="14"/>
    <n v="0.2"/>
  </r>
  <r>
    <n v="1047"/>
    <x v="46"/>
    <x v="2"/>
    <x v="3"/>
    <s v="Electronics"/>
    <n v="33000"/>
    <n v="6200"/>
    <n v="3"/>
    <n v="0.18787878787878787"/>
  </r>
  <r>
    <n v="1048"/>
    <x v="47"/>
    <x v="3"/>
    <x v="4"/>
    <s v="Furniture"/>
    <n v="21000"/>
    <n v="4200"/>
    <n v="2"/>
    <n v="0.2"/>
  </r>
  <r>
    <n v="1049"/>
    <x v="48"/>
    <x v="0"/>
    <x v="6"/>
    <s v="Stationery"/>
    <n v="1100"/>
    <n v="240"/>
    <n v="28"/>
    <n v="0.21818181818181817"/>
  </r>
  <r>
    <n v="1050"/>
    <x v="49"/>
    <x v="1"/>
    <x v="7"/>
    <s v="Electronics"/>
    <n v="25000"/>
    <n v="4500"/>
    <n v="2"/>
    <n v="0.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248078-C6F9-4CDB-955E-FB3D45492C60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G3:H7" firstHeaderRow="1" firstDataRow="1" firstDataCol="1"/>
  <pivotFields count="11"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showAll="0"/>
    <pivotField showAll="0"/>
    <pivotField dataField="1" numFmtId="164" showAll="0"/>
    <pivotField numFmtId="164" showAll="0"/>
    <pivotField showAll="0"/>
    <pivotField numFmtId="10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SalesAmount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9EF6F2-64C9-43CC-9F50-8552CCE68F9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D3:E18" firstHeaderRow="1" firstDataRow="1" firstDataCol="1"/>
  <pivotFields count="11"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showAll="0"/>
    <pivotField axis="axisRow" showAll="0">
      <items count="15">
        <item x="11"/>
        <item x="12"/>
        <item x="4"/>
        <item x="9"/>
        <item x="0"/>
        <item x="10"/>
        <item x="3"/>
        <item x="7"/>
        <item x="2"/>
        <item x="1"/>
        <item x="6"/>
        <item x="5"/>
        <item x="8"/>
        <item x="13"/>
        <item t="default"/>
      </items>
    </pivotField>
    <pivotField showAll="0"/>
    <pivotField dataField="1" numFmtId="164" showAll="0"/>
    <pivotField numFmtId="164" showAll="0"/>
    <pivotField showAll="0"/>
    <pivotField numFmtId="10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SalesAmount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D4232-A17B-4090-8C72-CA13986D22B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8" firstHeaderRow="1" firstDataRow="1" firstDataCol="1"/>
  <pivotFields count="11"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dataField="1" numFmtId="164" showAll="0"/>
    <pivotField numFmtId="164" showAll="0"/>
    <pivotField showAll="0"/>
    <pivotField numFmtId="10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Amount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9ACBEC-69F2-4253-A6A0-3266B6AAECC6}" name="Table1" displayName="Table1" ref="A1:I51" totalsRowShown="0" headerRowDxfId="10" dataDxfId="9">
  <autoFilter ref="A1:I51" xr:uid="{319ACBEC-69F2-4253-A6A0-3266B6AAECC6}"/>
  <tableColumns count="9">
    <tableColumn id="1" xr3:uid="{610B8B90-5B14-4141-A42B-B781DDC7B1D5}" name="OrderID" dataDxfId="8"/>
    <tableColumn id="2" xr3:uid="{129C40DC-71D9-4DCA-9ED1-2B327A642A81}" name="OrderDate" dataDxfId="7"/>
    <tableColumn id="3" xr3:uid="{4D182DB8-9435-4520-BC76-1BFD5DC56324}" name="Region" dataDxfId="6"/>
    <tableColumn id="4" xr3:uid="{4D8ACAF1-6EE5-4598-AA86-570A35D3EE27}" name="Product" dataDxfId="5"/>
    <tableColumn id="5" xr3:uid="{17F5C717-1FBB-467A-89AD-0C9E05C52B95}" name="Category" dataDxfId="4"/>
    <tableColumn id="6" xr3:uid="{77673DEB-1AA3-4E33-AE34-8C7FA69BBA11}" name="SalesAmount" dataDxfId="3"/>
    <tableColumn id="7" xr3:uid="{EA9CF32C-D753-40CF-8CD2-5E0FF77A16F4}" name="Profit" dataDxfId="2"/>
    <tableColumn id="8" xr3:uid="{36910510-E672-4C0B-8669-3354082AB1B9}" name="Quantity" dataDxfId="1"/>
    <tableColumn id="10" xr3:uid="{211E2AEE-219C-417C-8AE6-2D594B793CA2}" name="Profit Margin" dataDxfId="0" dataCellStyle="Percent">
      <calculatedColumnFormula>((Table1[[#This Row],[Profit]])/(Table1[[#This Row],[SalesAmount]]))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CFD2-0A33-4441-80F8-A49B999DE531}">
  <dimension ref="A1:I51"/>
  <sheetViews>
    <sheetView tabSelected="1" workbookViewId="0">
      <selection activeCell="K6" sqref="K6"/>
    </sheetView>
  </sheetViews>
  <sheetFormatPr defaultRowHeight="15" x14ac:dyDescent="0.25"/>
  <cols>
    <col min="1" max="1" width="10.140625" customWidth="1"/>
    <col min="2" max="2" width="15.85546875" bestFit="1" customWidth="1"/>
    <col min="3" max="3" width="9.28515625" customWidth="1"/>
    <col min="4" max="5" width="14.85546875" customWidth="1"/>
    <col min="6" max="6" width="17.5703125" customWidth="1"/>
    <col min="7" max="7" width="9.7109375" bestFit="1" customWidth="1"/>
    <col min="8" max="8" width="10.85546875" customWidth="1"/>
    <col min="9" max="9" width="12.855468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29</v>
      </c>
    </row>
    <row r="2" spans="1:9" x14ac:dyDescent="0.25">
      <c r="A2" s="1">
        <v>1001</v>
      </c>
      <c r="B2" s="9">
        <v>45659</v>
      </c>
      <c r="C2" s="1" t="s">
        <v>8</v>
      </c>
      <c r="D2" s="1" t="s">
        <v>9</v>
      </c>
      <c r="E2" s="1" t="s">
        <v>10</v>
      </c>
      <c r="F2" s="3">
        <v>55000</v>
      </c>
      <c r="G2" s="3">
        <v>8000</v>
      </c>
      <c r="H2" s="1">
        <v>2</v>
      </c>
      <c r="I2" s="4">
        <f>((Table1[[#This Row],[Profit]])/(Table1[[#This Row],[SalesAmount]]))</f>
        <v>0.14545454545454545</v>
      </c>
    </row>
    <row r="3" spans="1:9" x14ac:dyDescent="0.25">
      <c r="A3" s="1">
        <v>1002</v>
      </c>
      <c r="B3" s="9">
        <v>45660</v>
      </c>
      <c r="C3" s="1" t="s">
        <v>11</v>
      </c>
      <c r="D3" s="1" t="s">
        <v>12</v>
      </c>
      <c r="E3" s="1" t="s">
        <v>13</v>
      </c>
      <c r="F3" s="3">
        <v>12000</v>
      </c>
      <c r="G3" s="3">
        <v>2500</v>
      </c>
      <c r="H3" s="1">
        <v>4</v>
      </c>
      <c r="I3" s="4">
        <f>((Table1[[#This Row],[Profit]])/(Table1[[#This Row],[SalesAmount]]))</f>
        <v>0.20833333333333334</v>
      </c>
    </row>
    <row r="4" spans="1:9" x14ac:dyDescent="0.25">
      <c r="A4" s="1">
        <v>1003</v>
      </c>
      <c r="B4" s="9">
        <v>45662</v>
      </c>
      <c r="C4" s="1" t="s">
        <v>14</v>
      </c>
      <c r="D4" s="1" t="s">
        <v>15</v>
      </c>
      <c r="E4" s="1" t="s">
        <v>16</v>
      </c>
      <c r="F4" s="3">
        <v>1500</v>
      </c>
      <c r="G4" s="3">
        <v>300</v>
      </c>
      <c r="H4" s="1">
        <v>10</v>
      </c>
      <c r="I4" s="4">
        <f>((Table1[[#This Row],[Profit]])/(Table1[[#This Row],[SalesAmount]]))</f>
        <v>0.2</v>
      </c>
    </row>
    <row r="5" spans="1:9" x14ac:dyDescent="0.25">
      <c r="A5" s="1">
        <v>1004</v>
      </c>
      <c r="B5" s="9">
        <v>45663</v>
      </c>
      <c r="C5" s="1" t="s">
        <v>17</v>
      </c>
      <c r="D5" s="1" t="s">
        <v>18</v>
      </c>
      <c r="E5" s="1" t="s">
        <v>10</v>
      </c>
      <c r="F5" s="3">
        <v>30000</v>
      </c>
      <c r="G5" s="3">
        <v>5000</v>
      </c>
      <c r="H5" s="1">
        <v>3</v>
      </c>
      <c r="I5" s="4">
        <f>((Table1[[#This Row],[Profit]])/(Table1[[#This Row],[SalesAmount]]))</f>
        <v>0.16666666666666666</v>
      </c>
    </row>
    <row r="6" spans="1:9" x14ac:dyDescent="0.25">
      <c r="A6" s="1">
        <v>1005</v>
      </c>
      <c r="B6" s="9">
        <v>45665</v>
      </c>
      <c r="C6" s="1" t="s">
        <v>8</v>
      </c>
      <c r="D6" s="1" t="s">
        <v>19</v>
      </c>
      <c r="E6" s="1" t="s">
        <v>13</v>
      </c>
      <c r="F6" s="3">
        <v>18000</v>
      </c>
      <c r="G6" s="3">
        <v>3500</v>
      </c>
      <c r="H6" s="1">
        <v>2</v>
      </c>
      <c r="I6" s="4">
        <f>((Table1[[#This Row],[Profit]])/(Table1[[#This Row],[SalesAmount]]))</f>
        <v>0.19444444444444445</v>
      </c>
    </row>
    <row r="7" spans="1:9" x14ac:dyDescent="0.25">
      <c r="A7" s="1">
        <v>1006</v>
      </c>
      <c r="B7" s="9">
        <v>45667</v>
      </c>
      <c r="C7" s="1" t="s">
        <v>11</v>
      </c>
      <c r="D7" s="1" t="s">
        <v>20</v>
      </c>
      <c r="E7" s="1" t="s">
        <v>10</v>
      </c>
      <c r="F7" s="3">
        <v>15000</v>
      </c>
      <c r="G7" s="3">
        <v>2000</v>
      </c>
      <c r="H7" s="1">
        <v>1</v>
      </c>
      <c r="I7" s="4">
        <f>((Table1[[#This Row],[Profit]])/(Table1[[#This Row],[SalesAmount]]))</f>
        <v>0.13333333333333333</v>
      </c>
    </row>
    <row r="8" spans="1:9" x14ac:dyDescent="0.25">
      <c r="A8" s="1">
        <v>1007</v>
      </c>
      <c r="B8" s="9">
        <v>45668</v>
      </c>
      <c r="C8" s="1" t="s">
        <v>14</v>
      </c>
      <c r="D8" s="1" t="s">
        <v>21</v>
      </c>
      <c r="E8" s="1" t="s">
        <v>16</v>
      </c>
      <c r="F8" s="3">
        <v>800</v>
      </c>
      <c r="G8" s="3">
        <v>150</v>
      </c>
      <c r="H8" s="1">
        <v>20</v>
      </c>
      <c r="I8" s="4">
        <f>((Table1[[#This Row],[Profit]])/(Table1[[#This Row],[SalesAmount]]))</f>
        <v>0.1875</v>
      </c>
    </row>
    <row r="9" spans="1:9" x14ac:dyDescent="0.25">
      <c r="A9" s="1">
        <v>1008</v>
      </c>
      <c r="B9" s="9">
        <v>45670</v>
      </c>
      <c r="C9" s="1" t="s">
        <v>17</v>
      </c>
      <c r="D9" s="1" t="s">
        <v>22</v>
      </c>
      <c r="E9" s="1" t="s">
        <v>10</v>
      </c>
      <c r="F9" s="3">
        <v>22000</v>
      </c>
      <c r="G9" s="3">
        <v>4000</v>
      </c>
      <c r="H9" s="1">
        <v>2</v>
      </c>
      <c r="I9" s="4">
        <f>((Table1[[#This Row],[Profit]])/(Table1[[#This Row],[SalesAmount]]))</f>
        <v>0.18181818181818182</v>
      </c>
    </row>
    <row r="10" spans="1:9" x14ac:dyDescent="0.25">
      <c r="A10" s="1">
        <v>1009</v>
      </c>
      <c r="B10" s="9">
        <v>45672</v>
      </c>
      <c r="C10" s="1" t="s">
        <v>8</v>
      </c>
      <c r="D10" s="1" t="s">
        <v>23</v>
      </c>
      <c r="E10" s="1" t="s">
        <v>13</v>
      </c>
      <c r="F10" s="3">
        <v>25000</v>
      </c>
      <c r="G10" s="3">
        <v>5000</v>
      </c>
      <c r="H10" s="1">
        <v>3</v>
      </c>
      <c r="I10" s="4">
        <f>((Table1[[#This Row],[Profit]])/(Table1[[#This Row],[SalesAmount]]))</f>
        <v>0.2</v>
      </c>
    </row>
    <row r="11" spans="1:9" x14ac:dyDescent="0.25">
      <c r="A11" s="1">
        <v>1010</v>
      </c>
      <c r="B11" s="9">
        <v>45674</v>
      </c>
      <c r="C11" s="1" t="s">
        <v>11</v>
      </c>
      <c r="D11" s="1" t="s">
        <v>24</v>
      </c>
      <c r="E11" s="1" t="s">
        <v>10</v>
      </c>
      <c r="F11" s="3">
        <v>5000</v>
      </c>
      <c r="G11" s="3">
        <v>900</v>
      </c>
      <c r="H11" s="1">
        <v>5</v>
      </c>
      <c r="I11" s="4">
        <f>((Table1[[#This Row],[Profit]])/(Table1[[#This Row],[SalesAmount]]))</f>
        <v>0.18</v>
      </c>
    </row>
    <row r="12" spans="1:9" x14ac:dyDescent="0.25">
      <c r="A12" s="1">
        <v>1011</v>
      </c>
      <c r="B12" s="9">
        <v>45675</v>
      </c>
      <c r="C12" s="1" t="s">
        <v>14</v>
      </c>
      <c r="D12" s="1" t="s">
        <v>25</v>
      </c>
      <c r="E12" s="1" t="s">
        <v>16</v>
      </c>
      <c r="F12" s="3">
        <v>1200</v>
      </c>
      <c r="G12" s="3">
        <v>250</v>
      </c>
      <c r="H12" s="1">
        <v>8</v>
      </c>
      <c r="I12" s="4">
        <f>((Table1[[#This Row],[Profit]])/(Table1[[#This Row],[SalesAmount]]))</f>
        <v>0.20833333333333334</v>
      </c>
    </row>
    <row r="13" spans="1:9" x14ac:dyDescent="0.25">
      <c r="A13" s="1">
        <v>1012</v>
      </c>
      <c r="B13" s="9">
        <v>45677</v>
      </c>
      <c r="C13" s="1" t="s">
        <v>17</v>
      </c>
      <c r="D13" s="1" t="s">
        <v>9</v>
      </c>
      <c r="E13" s="1" t="s">
        <v>10</v>
      </c>
      <c r="F13" s="3">
        <v>60000</v>
      </c>
      <c r="G13" s="3">
        <v>9000</v>
      </c>
      <c r="H13" s="1">
        <v>2</v>
      </c>
      <c r="I13" s="4">
        <f>((Table1[[#This Row],[Profit]])/(Table1[[#This Row],[SalesAmount]]))</f>
        <v>0.15</v>
      </c>
    </row>
    <row r="14" spans="1:9" x14ac:dyDescent="0.25">
      <c r="A14" s="1">
        <v>1013</v>
      </c>
      <c r="B14" s="9">
        <v>45679</v>
      </c>
      <c r="C14" s="1" t="s">
        <v>8</v>
      </c>
      <c r="D14" s="1" t="s">
        <v>26</v>
      </c>
      <c r="E14" s="1" t="s">
        <v>13</v>
      </c>
      <c r="F14" s="3">
        <v>20000</v>
      </c>
      <c r="G14" s="3">
        <v>4500</v>
      </c>
      <c r="H14" s="1">
        <v>2</v>
      </c>
      <c r="I14" s="4">
        <f>((Table1[[#This Row],[Profit]])/(Table1[[#This Row],[SalesAmount]]))</f>
        <v>0.22500000000000001</v>
      </c>
    </row>
    <row r="15" spans="1:9" x14ac:dyDescent="0.25">
      <c r="A15" s="1">
        <v>1014</v>
      </c>
      <c r="B15" s="9">
        <v>45681</v>
      </c>
      <c r="C15" s="1" t="s">
        <v>11</v>
      </c>
      <c r="D15" s="1" t="s">
        <v>27</v>
      </c>
      <c r="E15" s="1" t="s">
        <v>16</v>
      </c>
      <c r="F15" s="3">
        <v>2000</v>
      </c>
      <c r="G15" s="3">
        <v>400</v>
      </c>
      <c r="H15" s="1">
        <v>6</v>
      </c>
      <c r="I15" s="4">
        <f>((Table1[[#This Row],[Profit]])/(Table1[[#This Row],[SalesAmount]]))</f>
        <v>0.2</v>
      </c>
    </row>
    <row r="16" spans="1:9" x14ac:dyDescent="0.25">
      <c r="A16" s="1">
        <v>1015</v>
      </c>
      <c r="B16" s="9">
        <v>45682</v>
      </c>
      <c r="C16" s="1" t="s">
        <v>14</v>
      </c>
      <c r="D16" s="1" t="s">
        <v>28</v>
      </c>
      <c r="E16" s="1" t="s">
        <v>10</v>
      </c>
      <c r="F16" s="3">
        <v>27000</v>
      </c>
      <c r="G16" s="3">
        <v>3500</v>
      </c>
      <c r="H16" s="1">
        <v>2</v>
      </c>
      <c r="I16" s="4">
        <f>((Table1[[#This Row],[Profit]])/(Table1[[#This Row],[SalesAmount]]))</f>
        <v>0.12962962962962962</v>
      </c>
    </row>
    <row r="17" spans="1:9" x14ac:dyDescent="0.25">
      <c r="A17" s="1">
        <v>1016</v>
      </c>
      <c r="B17" s="9">
        <v>45684</v>
      </c>
      <c r="C17" s="1" t="s">
        <v>17</v>
      </c>
      <c r="D17" s="1" t="s">
        <v>12</v>
      </c>
      <c r="E17" s="1" t="s">
        <v>13</v>
      </c>
      <c r="F17" s="3">
        <v>14000</v>
      </c>
      <c r="G17" s="3">
        <v>3000</v>
      </c>
      <c r="H17" s="1">
        <v>3</v>
      </c>
      <c r="I17" s="4">
        <f>((Table1[[#This Row],[Profit]])/(Table1[[#This Row],[SalesAmount]]))</f>
        <v>0.21428571428571427</v>
      </c>
    </row>
    <row r="18" spans="1:9" x14ac:dyDescent="0.25">
      <c r="A18" s="1">
        <v>1017</v>
      </c>
      <c r="B18" s="9">
        <v>45686</v>
      </c>
      <c r="C18" s="1" t="s">
        <v>8</v>
      </c>
      <c r="D18" s="1" t="s">
        <v>20</v>
      </c>
      <c r="E18" s="1" t="s">
        <v>10</v>
      </c>
      <c r="F18" s="3">
        <v>16000</v>
      </c>
      <c r="G18" s="3">
        <v>2500</v>
      </c>
      <c r="H18" s="1">
        <v>1</v>
      </c>
      <c r="I18" s="4">
        <f>((Table1[[#This Row],[Profit]])/(Table1[[#This Row],[SalesAmount]]))</f>
        <v>0.15625</v>
      </c>
    </row>
    <row r="19" spans="1:9" x14ac:dyDescent="0.25">
      <c r="A19" s="1">
        <v>1018</v>
      </c>
      <c r="B19" s="9">
        <v>45689</v>
      </c>
      <c r="C19" s="1" t="s">
        <v>11</v>
      </c>
      <c r="D19" s="1" t="s">
        <v>15</v>
      </c>
      <c r="E19" s="1" t="s">
        <v>16</v>
      </c>
      <c r="F19" s="3">
        <v>1800</v>
      </c>
      <c r="G19" s="3">
        <v>350</v>
      </c>
      <c r="H19" s="1">
        <v>12</v>
      </c>
      <c r="I19" s="4">
        <f>((Table1[[#This Row],[Profit]])/(Table1[[#This Row],[SalesAmount]]))</f>
        <v>0.19444444444444445</v>
      </c>
    </row>
    <row r="20" spans="1:9" x14ac:dyDescent="0.25">
      <c r="A20" s="1">
        <v>1019</v>
      </c>
      <c r="B20" s="9">
        <v>45691</v>
      </c>
      <c r="C20" s="1" t="s">
        <v>14</v>
      </c>
      <c r="D20" s="1" t="s">
        <v>18</v>
      </c>
      <c r="E20" s="1" t="s">
        <v>10</v>
      </c>
      <c r="F20" s="3">
        <v>32000</v>
      </c>
      <c r="G20" s="3">
        <v>6000</v>
      </c>
      <c r="H20" s="1">
        <v>3</v>
      </c>
      <c r="I20" s="4">
        <f>((Table1[[#This Row],[Profit]])/(Table1[[#This Row],[SalesAmount]]))</f>
        <v>0.1875</v>
      </c>
    </row>
    <row r="21" spans="1:9" x14ac:dyDescent="0.25">
      <c r="A21" s="1">
        <v>1020</v>
      </c>
      <c r="B21" s="9">
        <v>45693</v>
      </c>
      <c r="C21" s="1" t="s">
        <v>17</v>
      </c>
      <c r="D21" s="1" t="s">
        <v>19</v>
      </c>
      <c r="E21" s="1" t="s">
        <v>13</v>
      </c>
      <c r="F21" s="3">
        <v>19000</v>
      </c>
      <c r="G21" s="3">
        <v>3800</v>
      </c>
      <c r="H21" s="1">
        <v>2</v>
      </c>
      <c r="I21" s="4">
        <f>((Table1[[#This Row],[Profit]])/(Table1[[#This Row],[SalesAmount]]))</f>
        <v>0.2</v>
      </c>
    </row>
    <row r="22" spans="1:9" x14ac:dyDescent="0.25">
      <c r="A22" s="1">
        <v>1021</v>
      </c>
      <c r="B22" s="9">
        <v>45695</v>
      </c>
      <c r="C22" s="1" t="s">
        <v>8</v>
      </c>
      <c r="D22" s="1" t="s">
        <v>21</v>
      </c>
      <c r="E22" s="1" t="s">
        <v>16</v>
      </c>
      <c r="F22" s="3">
        <v>900</v>
      </c>
      <c r="G22" s="3">
        <v>200</v>
      </c>
      <c r="H22" s="1">
        <v>25</v>
      </c>
      <c r="I22" s="4">
        <f>((Table1[[#This Row],[Profit]])/(Table1[[#This Row],[SalesAmount]]))</f>
        <v>0.22222222222222221</v>
      </c>
    </row>
    <row r="23" spans="1:9" x14ac:dyDescent="0.25">
      <c r="A23" s="1">
        <v>1022</v>
      </c>
      <c r="B23" s="9">
        <v>45697</v>
      </c>
      <c r="C23" s="1" t="s">
        <v>11</v>
      </c>
      <c r="D23" s="1" t="s">
        <v>22</v>
      </c>
      <c r="E23" s="1" t="s">
        <v>10</v>
      </c>
      <c r="F23" s="3">
        <v>24000</v>
      </c>
      <c r="G23" s="3">
        <v>4200</v>
      </c>
      <c r="H23" s="1">
        <v>2</v>
      </c>
      <c r="I23" s="4">
        <f>((Table1[[#This Row],[Profit]])/(Table1[[#This Row],[SalesAmount]]))</f>
        <v>0.17499999999999999</v>
      </c>
    </row>
    <row r="24" spans="1:9" x14ac:dyDescent="0.25">
      <c r="A24" s="1">
        <v>1023</v>
      </c>
      <c r="B24" s="9">
        <v>45698</v>
      </c>
      <c r="C24" s="1" t="s">
        <v>14</v>
      </c>
      <c r="D24" s="1" t="s">
        <v>23</v>
      </c>
      <c r="E24" s="1" t="s">
        <v>13</v>
      </c>
      <c r="F24" s="3">
        <v>26000</v>
      </c>
      <c r="G24" s="3">
        <v>5200</v>
      </c>
      <c r="H24" s="1">
        <v>3</v>
      </c>
      <c r="I24" s="4">
        <f>((Table1[[#This Row],[Profit]])/(Table1[[#This Row],[SalesAmount]]))</f>
        <v>0.2</v>
      </c>
    </row>
    <row r="25" spans="1:9" x14ac:dyDescent="0.25">
      <c r="A25" s="1">
        <v>1024</v>
      </c>
      <c r="B25" s="9">
        <v>45700</v>
      </c>
      <c r="C25" s="1" t="s">
        <v>17</v>
      </c>
      <c r="D25" s="1" t="s">
        <v>24</v>
      </c>
      <c r="E25" s="1" t="s">
        <v>10</v>
      </c>
      <c r="F25" s="3">
        <v>5500</v>
      </c>
      <c r="G25" s="3">
        <v>1000</v>
      </c>
      <c r="H25" s="1">
        <v>6</v>
      </c>
      <c r="I25" s="4">
        <f>((Table1[[#This Row],[Profit]])/(Table1[[#This Row],[SalesAmount]]))</f>
        <v>0.18181818181818182</v>
      </c>
    </row>
    <row r="26" spans="1:9" x14ac:dyDescent="0.25">
      <c r="A26" s="1">
        <v>1025</v>
      </c>
      <c r="B26" s="9">
        <v>45702</v>
      </c>
      <c r="C26" s="1" t="s">
        <v>8</v>
      </c>
      <c r="D26" s="1" t="s">
        <v>25</v>
      </c>
      <c r="E26" s="1" t="s">
        <v>16</v>
      </c>
      <c r="F26" s="3">
        <v>1300</v>
      </c>
      <c r="G26" s="3">
        <v>300</v>
      </c>
      <c r="H26" s="1">
        <v>10</v>
      </c>
      <c r="I26" s="4">
        <f>((Table1[[#This Row],[Profit]])/(Table1[[#This Row],[SalesAmount]]))</f>
        <v>0.23076923076923078</v>
      </c>
    </row>
    <row r="27" spans="1:9" x14ac:dyDescent="0.25">
      <c r="A27" s="1">
        <v>1026</v>
      </c>
      <c r="B27" s="9">
        <v>45704</v>
      </c>
      <c r="C27" s="1" t="s">
        <v>11</v>
      </c>
      <c r="D27" s="1" t="s">
        <v>9</v>
      </c>
      <c r="E27" s="1" t="s">
        <v>10</v>
      </c>
      <c r="F27" s="3">
        <v>58000</v>
      </c>
      <c r="G27" s="3">
        <v>8500</v>
      </c>
      <c r="H27" s="1">
        <v>2</v>
      </c>
      <c r="I27" s="4">
        <f>((Table1[[#This Row],[Profit]])/(Table1[[#This Row],[SalesAmount]]))</f>
        <v>0.14655172413793102</v>
      </c>
    </row>
    <row r="28" spans="1:9" x14ac:dyDescent="0.25">
      <c r="A28" s="1">
        <v>1027</v>
      </c>
      <c r="B28" s="9">
        <v>45706</v>
      </c>
      <c r="C28" s="1" t="s">
        <v>14</v>
      </c>
      <c r="D28" s="1" t="s">
        <v>26</v>
      </c>
      <c r="E28" s="1" t="s">
        <v>13</v>
      </c>
      <c r="F28" s="3">
        <v>21000</v>
      </c>
      <c r="G28" s="3">
        <v>4600</v>
      </c>
      <c r="H28" s="1">
        <v>2</v>
      </c>
      <c r="I28" s="4">
        <f>((Table1[[#This Row],[Profit]])/(Table1[[#This Row],[SalesAmount]]))</f>
        <v>0.21904761904761905</v>
      </c>
    </row>
    <row r="29" spans="1:9" x14ac:dyDescent="0.25">
      <c r="A29" s="1">
        <v>1028</v>
      </c>
      <c r="B29" s="9">
        <v>45708</v>
      </c>
      <c r="C29" s="1" t="s">
        <v>17</v>
      </c>
      <c r="D29" s="1" t="s">
        <v>27</v>
      </c>
      <c r="E29" s="1" t="s">
        <v>16</v>
      </c>
      <c r="F29" s="3">
        <v>2200</v>
      </c>
      <c r="G29" s="3">
        <v>450</v>
      </c>
      <c r="H29" s="1">
        <v>7</v>
      </c>
      <c r="I29" s="4">
        <f>((Table1[[#This Row],[Profit]])/(Table1[[#This Row],[SalesAmount]]))</f>
        <v>0.20454545454545456</v>
      </c>
    </row>
    <row r="30" spans="1:9" x14ac:dyDescent="0.25">
      <c r="A30" s="1">
        <v>1029</v>
      </c>
      <c r="B30" s="9">
        <v>45710</v>
      </c>
      <c r="C30" s="1" t="s">
        <v>8</v>
      </c>
      <c r="D30" s="1" t="s">
        <v>28</v>
      </c>
      <c r="E30" s="1" t="s">
        <v>10</v>
      </c>
      <c r="F30" s="3">
        <v>28000</v>
      </c>
      <c r="G30" s="3">
        <v>3700</v>
      </c>
      <c r="H30" s="1">
        <v>2</v>
      </c>
      <c r="I30" s="4">
        <f>((Table1[[#This Row],[Profit]])/(Table1[[#This Row],[SalesAmount]]))</f>
        <v>0.13214285714285715</v>
      </c>
    </row>
    <row r="31" spans="1:9" x14ac:dyDescent="0.25">
      <c r="A31" s="1">
        <v>1030</v>
      </c>
      <c r="B31" s="9">
        <v>45712</v>
      </c>
      <c r="C31" s="1" t="s">
        <v>11</v>
      </c>
      <c r="D31" s="1" t="s">
        <v>12</v>
      </c>
      <c r="E31" s="1" t="s">
        <v>13</v>
      </c>
      <c r="F31" s="3">
        <v>15000</v>
      </c>
      <c r="G31" s="3">
        <v>3200</v>
      </c>
      <c r="H31" s="1">
        <v>3</v>
      </c>
      <c r="I31" s="4">
        <f>((Table1[[#This Row],[Profit]])/(Table1[[#This Row],[SalesAmount]]))</f>
        <v>0.21333333333333335</v>
      </c>
    </row>
    <row r="32" spans="1:9" x14ac:dyDescent="0.25">
      <c r="A32" s="1">
        <v>1031</v>
      </c>
      <c r="B32" s="9">
        <v>45714</v>
      </c>
      <c r="C32" s="1" t="s">
        <v>14</v>
      </c>
      <c r="D32" s="1" t="s">
        <v>20</v>
      </c>
      <c r="E32" s="1" t="s">
        <v>10</v>
      </c>
      <c r="F32" s="3">
        <v>17000</v>
      </c>
      <c r="G32" s="3">
        <v>2800</v>
      </c>
      <c r="H32" s="1">
        <v>1</v>
      </c>
      <c r="I32" s="4">
        <f>((Table1[[#This Row],[Profit]])/(Table1[[#This Row],[SalesAmount]]))</f>
        <v>0.16470588235294117</v>
      </c>
    </row>
    <row r="33" spans="1:9" x14ac:dyDescent="0.25">
      <c r="A33" s="1">
        <v>1032</v>
      </c>
      <c r="B33" s="9">
        <v>45716</v>
      </c>
      <c r="C33" s="1" t="s">
        <v>17</v>
      </c>
      <c r="D33" s="1" t="s">
        <v>15</v>
      </c>
      <c r="E33" s="1" t="s">
        <v>16</v>
      </c>
      <c r="F33" s="3">
        <v>1600</v>
      </c>
      <c r="G33" s="3">
        <v>320</v>
      </c>
      <c r="H33" s="1">
        <v>15</v>
      </c>
      <c r="I33" s="4">
        <f>((Table1[[#This Row],[Profit]])/(Table1[[#This Row],[SalesAmount]]))</f>
        <v>0.2</v>
      </c>
    </row>
    <row r="34" spans="1:9" x14ac:dyDescent="0.25">
      <c r="A34" s="1">
        <v>1033</v>
      </c>
      <c r="B34" s="9">
        <v>45717</v>
      </c>
      <c r="C34" s="1" t="s">
        <v>8</v>
      </c>
      <c r="D34" s="1" t="s">
        <v>18</v>
      </c>
      <c r="E34" s="1" t="s">
        <v>10</v>
      </c>
      <c r="F34" s="3">
        <v>31000</v>
      </c>
      <c r="G34" s="3">
        <v>5800</v>
      </c>
      <c r="H34" s="1">
        <v>3</v>
      </c>
      <c r="I34" s="4">
        <f>((Table1[[#This Row],[Profit]])/(Table1[[#This Row],[SalesAmount]]))</f>
        <v>0.18709677419354839</v>
      </c>
    </row>
    <row r="35" spans="1:9" x14ac:dyDescent="0.25">
      <c r="A35" s="1">
        <v>1034</v>
      </c>
      <c r="B35" s="9">
        <v>45719</v>
      </c>
      <c r="C35" s="1" t="s">
        <v>11</v>
      </c>
      <c r="D35" s="1" t="s">
        <v>19</v>
      </c>
      <c r="E35" s="1" t="s">
        <v>13</v>
      </c>
      <c r="F35" s="3">
        <v>20000</v>
      </c>
      <c r="G35" s="3">
        <v>4000</v>
      </c>
      <c r="H35" s="1">
        <v>2</v>
      </c>
      <c r="I35" s="4">
        <f>((Table1[[#This Row],[Profit]])/(Table1[[#This Row],[SalesAmount]]))</f>
        <v>0.2</v>
      </c>
    </row>
    <row r="36" spans="1:9" x14ac:dyDescent="0.25">
      <c r="A36" s="1">
        <v>1035</v>
      </c>
      <c r="B36" s="9">
        <v>45721</v>
      </c>
      <c r="C36" s="1" t="s">
        <v>14</v>
      </c>
      <c r="D36" s="1" t="s">
        <v>21</v>
      </c>
      <c r="E36" s="1" t="s">
        <v>16</v>
      </c>
      <c r="F36" s="3">
        <v>1000</v>
      </c>
      <c r="G36" s="3">
        <v>220</v>
      </c>
      <c r="H36" s="1">
        <v>30</v>
      </c>
      <c r="I36" s="4">
        <f>((Table1[[#This Row],[Profit]])/(Table1[[#This Row],[SalesAmount]]))</f>
        <v>0.22</v>
      </c>
    </row>
    <row r="37" spans="1:9" x14ac:dyDescent="0.25">
      <c r="A37" s="1">
        <v>1036</v>
      </c>
      <c r="B37" s="9">
        <v>45723</v>
      </c>
      <c r="C37" s="1" t="s">
        <v>17</v>
      </c>
      <c r="D37" s="1" t="s">
        <v>22</v>
      </c>
      <c r="E37" s="1" t="s">
        <v>10</v>
      </c>
      <c r="F37" s="3">
        <v>23000</v>
      </c>
      <c r="G37" s="3">
        <v>4100</v>
      </c>
      <c r="H37" s="1">
        <v>2</v>
      </c>
      <c r="I37" s="4">
        <f>((Table1[[#This Row],[Profit]])/(Table1[[#This Row],[SalesAmount]]))</f>
        <v>0.17826086956521739</v>
      </c>
    </row>
    <row r="38" spans="1:9" x14ac:dyDescent="0.25">
      <c r="A38" s="1">
        <v>1037</v>
      </c>
      <c r="B38" s="9">
        <v>45725</v>
      </c>
      <c r="C38" s="1" t="s">
        <v>8</v>
      </c>
      <c r="D38" s="1" t="s">
        <v>23</v>
      </c>
      <c r="E38" s="1" t="s">
        <v>13</v>
      </c>
      <c r="F38" s="3">
        <v>27000</v>
      </c>
      <c r="G38" s="3">
        <v>5400</v>
      </c>
      <c r="H38" s="1">
        <v>3</v>
      </c>
      <c r="I38" s="4">
        <f>((Table1[[#This Row],[Profit]])/(Table1[[#This Row],[SalesAmount]]))</f>
        <v>0.2</v>
      </c>
    </row>
    <row r="39" spans="1:9" x14ac:dyDescent="0.25">
      <c r="A39" s="1">
        <v>1038</v>
      </c>
      <c r="B39" s="9">
        <v>45727</v>
      </c>
      <c r="C39" s="1" t="s">
        <v>11</v>
      </c>
      <c r="D39" s="1" t="s">
        <v>24</v>
      </c>
      <c r="E39" s="1" t="s">
        <v>10</v>
      </c>
      <c r="F39" s="3">
        <v>6000</v>
      </c>
      <c r="G39" s="3">
        <v>1200</v>
      </c>
      <c r="H39" s="1">
        <v>6</v>
      </c>
      <c r="I39" s="4">
        <f>((Table1[[#This Row],[Profit]])/(Table1[[#This Row],[SalesAmount]]))</f>
        <v>0.2</v>
      </c>
    </row>
    <row r="40" spans="1:9" x14ac:dyDescent="0.25">
      <c r="A40" s="1">
        <v>1039</v>
      </c>
      <c r="B40" s="9">
        <v>45729</v>
      </c>
      <c r="C40" s="1" t="s">
        <v>14</v>
      </c>
      <c r="D40" s="1" t="s">
        <v>25</v>
      </c>
      <c r="E40" s="1" t="s">
        <v>16</v>
      </c>
      <c r="F40" s="3">
        <v>1400</v>
      </c>
      <c r="G40" s="3">
        <v>310</v>
      </c>
      <c r="H40" s="1">
        <v>12</v>
      </c>
      <c r="I40" s="4">
        <f>((Table1[[#This Row],[Profit]])/(Table1[[#This Row],[SalesAmount]]))</f>
        <v>0.22142857142857142</v>
      </c>
    </row>
    <row r="41" spans="1:9" x14ac:dyDescent="0.25">
      <c r="A41" s="1">
        <v>1040</v>
      </c>
      <c r="B41" s="9">
        <v>45731</v>
      </c>
      <c r="C41" s="1" t="s">
        <v>17</v>
      </c>
      <c r="D41" s="1" t="s">
        <v>9</v>
      </c>
      <c r="E41" s="1" t="s">
        <v>10</v>
      </c>
      <c r="F41" s="3">
        <v>62000</v>
      </c>
      <c r="G41" s="3">
        <v>9500</v>
      </c>
      <c r="H41" s="1">
        <v>2</v>
      </c>
      <c r="I41" s="4">
        <f>((Table1[[#This Row],[Profit]])/(Table1[[#This Row],[SalesAmount]]))</f>
        <v>0.15322580645161291</v>
      </c>
    </row>
    <row r="42" spans="1:9" x14ac:dyDescent="0.25">
      <c r="A42" s="1">
        <v>1041</v>
      </c>
      <c r="B42" s="9">
        <v>45733</v>
      </c>
      <c r="C42" s="1" t="s">
        <v>8</v>
      </c>
      <c r="D42" s="1" t="s">
        <v>26</v>
      </c>
      <c r="E42" s="1" t="s">
        <v>13</v>
      </c>
      <c r="F42" s="3">
        <v>22000</v>
      </c>
      <c r="G42" s="3">
        <v>4700</v>
      </c>
      <c r="H42" s="1">
        <v>2</v>
      </c>
      <c r="I42" s="4">
        <f>((Table1[[#This Row],[Profit]])/(Table1[[#This Row],[SalesAmount]]))</f>
        <v>0.21363636363636362</v>
      </c>
    </row>
    <row r="43" spans="1:9" x14ac:dyDescent="0.25">
      <c r="A43" s="1">
        <v>1042</v>
      </c>
      <c r="B43" s="9">
        <v>45735</v>
      </c>
      <c r="C43" s="1" t="s">
        <v>11</v>
      </c>
      <c r="D43" s="1" t="s">
        <v>27</v>
      </c>
      <c r="E43" s="1" t="s">
        <v>16</v>
      </c>
      <c r="F43" s="3">
        <v>2500</v>
      </c>
      <c r="G43" s="3">
        <v>500</v>
      </c>
      <c r="H43" s="1">
        <v>8</v>
      </c>
      <c r="I43" s="4">
        <f>((Table1[[#This Row],[Profit]])/(Table1[[#This Row],[SalesAmount]]))</f>
        <v>0.2</v>
      </c>
    </row>
    <row r="44" spans="1:9" x14ac:dyDescent="0.25">
      <c r="A44" s="1">
        <v>1043</v>
      </c>
      <c r="B44" s="9">
        <v>45737</v>
      </c>
      <c r="C44" s="1" t="s">
        <v>14</v>
      </c>
      <c r="D44" s="1" t="s">
        <v>28</v>
      </c>
      <c r="E44" s="1" t="s">
        <v>10</v>
      </c>
      <c r="F44" s="3">
        <v>29000</v>
      </c>
      <c r="G44" s="3">
        <v>3900</v>
      </c>
      <c r="H44" s="1">
        <v>2</v>
      </c>
      <c r="I44" s="4">
        <f>((Table1[[#This Row],[Profit]])/(Table1[[#This Row],[SalesAmount]]))</f>
        <v>0.13448275862068965</v>
      </c>
    </row>
    <row r="45" spans="1:9" x14ac:dyDescent="0.25">
      <c r="A45" s="1">
        <v>1044</v>
      </c>
      <c r="B45" s="9">
        <v>45739</v>
      </c>
      <c r="C45" s="1" t="s">
        <v>17</v>
      </c>
      <c r="D45" s="1" t="s">
        <v>12</v>
      </c>
      <c r="E45" s="1" t="s">
        <v>13</v>
      </c>
      <c r="F45" s="3">
        <v>16000</v>
      </c>
      <c r="G45" s="3">
        <v>3300</v>
      </c>
      <c r="H45" s="1">
        <v>3</v>
      </c>
      <c r="I45" s="4">
        <f>((Table1[[#This Row],[Profit]])/(Table1[[#This Row],[SalesAmount]]))</f>
        <v>0.20624999999999999</v>
      </c>
    </row>
    <row r="46" spans="1:9" x14ac:dyDescent="0.25">
      <c r="A46" s="1">
        <v>1045</v>
      </c>
      <c r="B46" s="9">
        <v>45741</v>
      </c>
      <c r="C46" s="1" t="s">
        <v>8</v>
      </c>
      <c r="D46" s="1" t="s">
        <v>20</v>
      </c>
      <c r="E46" s="1" t="s">
        <v>10</v>
      </c>
      <c r="F46" s="3">
        <v>18000</v>
      </c>
      <c r="G46" s="3">
        <v>3000</v>
      </c>
      <c r="H46" s="1">
        <v>1</v>
      </c>
      <c r="I46" s="4">
        <f>((Table1[[#This Row],[Profit]])/(Table1[[#This Row],[SalesAmount]]))</f>
        <v>0.16666666666666666</v>
      </c>
    </row>
    <row r="47" spans="1:9" x14ac:dyDescent="0.25">
      <c r="A47" s="1">
        <v>1046</v>
      </c>
      <c r="B47" s="9">
        <v>45743</v>
      </c>
      <c r="C47" s="1" t="s">
        <v>11</v>
      </c>
      <c r="D47" s="1" t="s">
        <v>15</v>
      </c>
      <c r="E47" s="1" t="s">
        <v>16</v>
      </c>
      <c r="F47" s="3">
        <v>1700</v>
      </c>
      <c r="G47" s="3">
        <v>340</v>
      </c>
      <c r="H47" s="1">
        <v>14</v>
      </c>
      <c r="I47" s="4">
        <f>((Table1[[#This Row],[Profit]])/(Table1[[#This Row],[SalesAmount]]))</f>
        <v>0.2</v>
      </c>
    </row>
    <row r="48" spans="1:9" x14ac:dyDescent="0.25">
      <c r="A48" s="1">
        <v>1047</v>
      </c>
      <c r="B48" s="9">
        <v>45744</v>
      </c>
      <c r="C48" s="1" t="s">
        <v>14</v>
      </c>
      <c r="D48" s="1" t="s">
        <v>18</v>
      </c>
      <c r="E48" s="1" t="s">
        <v>10</v>
      </c>
      <c r="F48" s="3">
        <v>33000</v>
      </c>
      <c r="G48" s="3">
        <v>6200</v>
      </c>
      <c r="H48" s="1">
        <v>3</v>
      </c>
      <c r="I48" s="4">
        <f>((Table1[[#This Row],[Profit]])/(Table1[[#This Row],[SalesAmount]]))</f>
        <v>0.18787878787878787</v>
      </c>
    </row>
    <row r="49" spans="1:9" x14ac:dyDescent="0.25">
      <c r="A49" s="1">
        <v>1048</v>
      </c>
      <c r="B49" s="9">
        <v>45745</v>
      </c>
      <c r="C49" s="1" t="s">
        <v>17</v>
      </c>
      <c r="D49" s="1" t="s">
        <v>19</v>
      </c>
      <c r="E49" s="1" t="s">
        <v>13</v>
      </c>
      <c r="F49" s="3">
        <v>21000</v>
      </c>
      <c r="G49" s="3">
        <v>4200</v>
      </c>
      <c r="H49" s="1">
        <v>2</v>
      </c>
      <c r="I49" s="4">
        <f>((Table1[[#This Row],[Profit]])/(Table1[[#This Row],[SalesAmount]]))</f>
        <v>0.2</v>
      </c>
    </row>
    <row r="50" spans="1:9" x14ac:dyDescent="0.25">
      <c r="A50" s="1">
        <v>1049</v>
      </c>
      <c r="B50" s="9">
        <v>45746</v>
      </c>
      <c r="C50" s="1" t="s">
        <v>8</v>
      </c>
      <c r="D50" s="1" t="s">
        <v>21</v>
      </c>
      <c r="E50" s="1" t="s">
        <v>16</v>
      </c>
      <c r="F50" s="3">
        <v>1100</v>
      </c>
      <c r="G50" s="3">
        <v>240</v>
      </c>
      <c r="H50" s="1">
        <v>28</v>
      </c>
      <c r="I50" s="4">
        <f>((Table1[[#This Row],[Profit]])/(Table1[[#This Row],[SalesAmount]]))</f>
        <v>0.21818181818181817</v>
      </c>
    </row>
    <row r="51" spans="1:9" x14ac:dyDescent="0.25">
      <c r="A51" s="1">
        <v>1050</v>
      </c>
      <c r="B51" s="9">
        <v>45747</v>
      </c>
      <c r="C51" s="1" t="s">
        <v>11</v>
      </c>
      <c r="D51" s="1" t="s">
        <v>22</v>
      </c>
      <c r="E51" s="1" t="s">
        <v>10</v>
      </c>
      <c r="F51" s="3">
        <v>25000</v>
      </c>
      <c r="G51" s="3">
        <v>4500</v>
      </c>
      <c r="H51" s="1">
        <v>2</v>
      </c>
      <c r="I51" s="4">
        <f>((Table1[[#This Row],[Profit]])/(Table1[[#This Row],[SalesAmount]]))</f>
        <v>0.18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C0E4E-F330-4BE8-AB8F-C8D372C66FF2}">
  <dimension ref="A2:H18"/>
  <sheetViews>
    <sheetView workbookViewId="0">
      <selection activeCell="G10" sqref="G10"/>
    </sheetView>
  </sheetViews>
  <sheetFormatPr defaultRowHeight="15" x14ac:dyDescent="0.25"/>
  <cols>
    <col min="1" max="1" width="13.140625" bestFit="1" customWidth="1"/>
    <col min="2" max="2" width="19.5703125" bestFit="1" customWidth="1"/>
    <col min="4" max="4" width="13.5703125" bestFit="1" customWidth="1"/>
    <col min="5" max="5" width="19.5703125" bestFit="1" customWidth="1"/>
    <col min="7" max="7" width="13.140625" bestFit="1" customWidth="1"/>
    <col min="8" max="8" width="19.5703125" bestFit="1" customWidth="1"/>
  </cols>
  <sheetData>
    <row r="2" spans="1:8" x14ac:dyDescent="0.25">
      <c r="A2" s="8" t="s">
        <v>31</v>
      </c>
      <c r="D2" s="8" t="s">
        <v>32</v>
      </c>
      <c r="G2" s="8" t="s">
        <v>36</v>
      </c>
    </row>
    <row r="3" spans="1:8" x14ac:dyDescent="0.25">
      <c r="A3" s="5" t="s">
        <v>2</v>
      </c>
      <c r="B3" t="s">
        <v>37</v>
      </c>
      <c r="D3" s="5" t="s">
        <v>3</v>
      </c>
      <c r="E3" t="s">
        <v>37</v>
      </c>
      <c r="G3" s="5" t="s">
        <v>38</v>
      </c>
      <c r="H3" t="s">
        <v>37</v>
      </c>
    </row>
    <row r="4" spans="1:8" x14ac:dyDescent="0.25">
      <c r="A4" s="6" t="s">
        <v>14</v>
      </c>
      <c r="B4" s="7">
        <v>190900</v>
      </c>
      <c r="D4" s="6" t="s">
        <v>26</v>
      </c>
      <c r="E4" s="7">
        <v>63000</v>
      </c>
      <c r="G4" s="6" t="s">
        <v>33</v>
      </c>
      <c r="H4" s="7">
        <v>324500</v>
      </c>
    </row>
    <row r="5" spans="1:8" x14ac:dyDescent="0.25">
      <c r="A5" s="6" t="s">
        <v>11</v>
      </c>
      <c r="B5" s="7">
        <v>188000</v>
      </c>
      <c r="D5" s="6" t="s">
        <v>27</v>
      </c>
      <c r="E5" s="7">
        <v>6700</v>
      </c>
      <c r="G5" s="6" t="s">
        <v>34</v>
      </c>
      <c r="H5" s="7">
        <v>253300</v>
      </c>
    </row>
    <row r="6" spans="1:8" x14ac:dyDescent="0.25">
      <c r="A6" s="6" t="s">
        <v>8</v>
      </c>
      <c r="B6" s="7">
        <v>263300</v>
      </c>
      <c r="D6" s="6" t="s">
        <v>19</v>
      </c>
      <c r="E6" s="7">
        <v>78000</v>
      </c>
      <c r="G6" s="6" t="s">
        <v>35</v>
      </c>
      <c r="H6" s="7">
        <v>340700</v>
      </c>
    </row>
    <row r="7" spans="1:8" x14ac:dyDescent="0.25">
      <c r="A7" s="6" t="s">
        <v>17</v>
      </c>
      <c r="B7" s="7">
        <v>276300</v>
      </c>
      <c r="D7" s="6" t="s">
        <v>24</v>
      </c>
      <c r="E7" s="7">
        <v>16500</v>
      </c>
      <c r="G7" s="6" t="s">
        <v>30</v>
      </c>
      <c r="H7" s="7">
        <v>918500</v>
      </c>
    </row>
    <row r="8" spans="1:8" x14ac:dyDescent="0.25">
      <c r="A8" s="6" t="s">
        <v>30</v>
      </c>
      <c r="B8" s="7">
        <v>918500</v>
      </c>
      <c r="D8" s="6" t="s">
        <v>9</v>
      </c>
      <c r="E8" s="7">
        <v>235000</v>
      </c>
    </row>
    <row r="9" spans="1:8" x14ac:dyDescent="0.25">
      <c r="D9" s="6" t="s">
        <v>25</v>
      </c>
      <c r="E9" s="7">
        <v>3900</v>
      </c>
    </row>
    <row r="10" spans="1:8" x14ac:dyDescent="0.25">
      <c r="D10" s="6" t="s">
        <v>18</v>
      </c>
      <c r="E10" s="7">
        <v>126000</v>
      </c>
    </row>
    <row r="11" spans="1:8" x14ac:dyDescent="0.25">
      <c r="D11" s="6" t="s">
        <v>22</v>
      </c>
      <c r="E11" s="7">
        <v>94000</v>
      </c>
    </row>
    <row r="12" spans="1:8" x14ac:dyDescent="0.25">
      <c r="D12" s="6" t="s">
        <v>15</v>
      </c>
      <c r="E12" s="7">
        <v>6600</v>
      </c>
    </row>
    <row r="13" spans="1:8" x14ac:dyDescent="0.25">
      <c r="D13" s="6" t="s">
        <v>12</v>
      </c>
      <c r="E13" s="7">
        <v>57000</v>
      </c>
    </row>
    <row r="14" spans="1:8" x14ac:dyDescent="0.25">
      <c r="D14" s="6" t="s">
        <v>21</v>
      </c>
      <c r="E14" s="7">
        <v>3800</v>
      </c>
    </row>
    <row r="15" spans="1:8" x14ac:dyDescent="0.25">
      <c r="D15" s="6" t="s">
        <v>20</v>
      </c>
      <c r="E15" s="7">
        <v>66000</v>
      </c>
    </row>
    <row r="16" spans="1:8" x14ac:dyDescent="0.25">
      <c r="D16" s="6" t="s">
        <v>23</v>
      </c>
      <c r="E16" s="7">
        <v>78000</v>
      </c>
    </row>
    <row r="17" spans="4:5" x14ac:dyDescent="0.25">
      <c r="D17" s="6" t="s">
        <v>28</v>
      </c>
      <c r="E17" s="7">
        <v>84000</v>
      </c>
    </row>
    <row r="18" spans="4:5" x14ac:dyDescent="0.25">
      <c r="D18" s="6" t="s">
        <v>30</v>
      </c>
      <c r="E18" s="7">
        <v>918500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Subasakthi Vaishnavi</dc:creator>
  <cp:lastModifiedBy>Subasakthi Vaishnavi</cp:lastModifiedBy>
  <dcterms:created xsi:type="dcterms:W3CDTF">2026-03-02T07:49:57Z</dcterms:created>
  <dcterms:modified xsi:type="dcterms:W3CDTF">2026-03-06T09:18:00Z</dcterms:modified>
</cp:coreProperties>
</file>